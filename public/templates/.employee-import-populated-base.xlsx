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Simple" sheetId="1" r:id="rId4"/>
    <sheet name="Dropdown List" sheetId="2" r:id="rId5"/>
  </sheets>
  <definedNames/>
  <calcPr calcId="999999" calcMode="auto" calcCompleted="1" fullCalcOnLoad="0"/>
</workbook>
</file>

<file path=xl/sharedStrings.xml><?xml version="1.0" encoding="utf-8"?>
<sst xmlns="http://schemas.openxmlformats.org/spreadsheetml/2006/main" uniqueCount="280">
  <si>
    <t>Template Employee</t>
  </si>
  <si>
    <t>no</t>
  </si>
  <si>
    <t>employee_code</t>
  </si>
  <si>
    <t>employee_title_lv</t>
  </si>
  <si>
    <t>employee_name</t>
  </si>
  <si>
    <t>employee_last_name</t>
  </si>
  <si>
    <t>fing_code</t>
  </si>
  <si>
    <t>employee_gender</t>
  </si>
  <si>
    <t>employee_foreigner</t>
  </si>
  <si>
    <t>nationality</t>
  </si>
  <si>
    <t>id_no</t>
  </si>
  <si>
    <t>not_thai_id_no</t>
  </si>
  <si>
    <t>passport_no</t>
  </si>
  <si>
    <t>workpermit_no</t>
  </si>
  <si>
    <t>sso_no</t>
  </si>
  <si>
    <t>sso_start_month</t>
  </si>
  <si>
    <t>employee_type_code</t>
  </si>
  <si>
    <t>employee_type_group_code</t>
  </si>
  <si>
    <t>round_month_config</t>
  </si>
  <si>
    <t>employee_nickname</t>
  </si>
  <si>
    <t>employee_name_en</t>
  </si>
  <si>
    <t>employee_last_name_en</t>
  </si>
  <si>
    <t>employee_nickname_en</t>
  </si>
  <si>
    <t>mobilephone</t>
  </si>
  <si>
    <t>emailaddress</t>
  </si>
  <si>
    <t>birth_dt</t>
  </si>
  <si>
    <t>effective_dt</t>
  </si>
  <si>
    <t>begin_dt</t>
  </si>
  <si>
    <t>tax_start_month</t>
  </si>
  <si>
    <t>signout_flag</t>
  </si>
  <si>
    <t>signout_dt</t>
  </si>
  <si>
    <t>signout_remark</t>
  </si>
  <si>
    <t>salary</t>
  </si>
  <si>
    <t>salary_per_week</t>
  </si>
  <si>
    <t>payment_method</t>
  </si>
  <si>
    <t>company_payment_account_code</t>
  </si>
  <si>
    <t>bank_id</t>
  </si>
  <si>
    <t>bank_branch_code</t>
  </si>
  <si>
    <t>bank_account_code</t>
  </si>
  <si>
    <t>address</t>
  </si>
  <si>
    <t>subdistrict_code</t>
  </si>
  <si>
    <t>district_code</t>
  </si>
  <si>
    <t>state_code</t>
  </si>
  <si>
    <t>current_address</t>
  </si>
  <si>
    <t>current_subdistrict_code</t>
  </si>
  <si>
    <t>current_district_code</t>
  </si>
  <si>
    <t>current_state_code</t>
  </si>
  <si>
    <t>department_code</t>
  </si>
  <si>
    <t>department_name</t>
  </si>
  <si>
    <t>division_code</t>
  </si>
  <si>
    <t>division_name</t>
  </si>
  <si>
    <t>section_code</t>
  </si>
  <si>
    <t>section_name</t>
  </si>
  <si>
    <t>position_code</t>
  </si>
  <si>
    <t>position_name</t>
  </si>
  <si>
    <t>on_board_flag</t>
  </si>
  <si>
    <t>salary_calculation</t>
  </si>
  <si>
    <t>OT Round</t>
  </si>
  <si>
    <t>Worktime Round</t>
  </si>
  <si>
    <t>ลำดับ</t>
  </si>
  <si>
    <t>รหัสพนักงาน</t>
  </si>
  <si>
    <t>คำนำหน้า</t>
  </si>
  <si>
    <t>ชื่อจริง</t>
  </si>
  <si>
    <t>นามสกุล</t>
  </si>
  <si>
    <t>รหัสลายนิ้วมือ</t>
  </si>
  <si>
    <t>เพศ</t>
  </si>
  <si>
    <t>ต่างชาติ</t>
  </si>
  <si>
    <t>สัญชาติ</t>
  </si>
  <si>
    <t>เลขประจำตัวประชาชน / ผู้เสียภาษี</t>
  </si>
  <si>
    <t>เลขประจำตัวคนซึ่งไม่มีสัญชาติไทย</t>
  </si>
  <si>
    <t>เลขหนังสือเดินทาง</t>
  </si>
  <si>
    <t>เลขใบอนุญาตทำงาน</t>
  </si>
  <si>
    <t>เลขประจำตัวประกันสังคม</t>
  </si>
  <si>
    <t>เดือนที่เริ่มคำนวณประกันสังคม</t>
  </si>
  <si>
    <t>ประเภทพนักงาน</t>
  </si>
  <si>
    <t>ประเภทกลุ่มพนักงาน</t>
  </si>
  <si>
    <t>รอบการคำนวณเงินเดือน</t>
  </si>
  <si>
    <t>ชื่อเล่น</t>
  </si>
  <si>
    <t>First Name</t>
  </si>
  <si>
    <t>Last Name</t>
  </si>
  <si>
    <t>Nickname</t>
  </si>
  <si>
    <t>เบอร์โทร</t>
  </si>
  <si>
    <t>Email</t>
  </si>
  <si>
    <t>วันเกิด</t>
  </si>
  <si>
    <t>วันที่เริ่มงาน</t>
  </si>
  <si>
    <t>วันที่บรรจุ</t>
  </si>
  <si>
    <t>เดือนที่เริ่มคำนวณภาษี</t>
  </si>
  <si>
    <t>สถานะลาออก</t>
  </si>
  <si>
    <t>วันที่ลาออก</t>
  </si>
  <si>
    <t>เหตุผลการลาออก</t>
  </si>
  <si>
    <t>เงินเดือน</t>
  </si>
  <si>
    <t>วงเงินเบิกล่วงหน้า</t>
  </si>
  <si>
    <t>ช่องทางการชำระเงิน</t>
  </si>
  <si>
    <t>บัญชีบริษัทนำจ่าย</t>
  </si>
  <si>
    <t>ธนาคาร</t>
  </si>
  <si>
    <t>รหัสสาขา</t>
  </si>
  <si>
    <t>เลขที่บัญชี</t>
  </si>
  <si>
    <t>ที่อยู่ตามบัตร</t>
  </si>
  <si>
    <t>แขวง/ตำบล</t>
  </si>
  <si>
    <t>เขต/อำเภอ</t>
  </si>
  <si>
    <t>จังหวัด</t>
  </si>
  <si>
    <t>ที่อยู่ปัจจุบัน</t>
  </si>
  <si>
    <t>รหัสแผนก</t>
  </si>
  <si>
    <t>ชื่อแผนก</t>
  </si>
  <si>
    <t>รหัสฝ่ายงาน</t>
  </si>
  <si>
    <t>ชื่อฝ่ายงาน</t>
  </si>
  <si>
    <t>รหัสหน่วยงาน</t>
  </si>
  <si>
    <t>ชื่อหน่วยงาน</t>
  </si>
  <si>
    <t>รหัสตำแหน่ง</t>
  </si>
  <si>
    <t>ชื่อตำแหน่ง</t>
  </si>
  <si>
    <t>On-Boarding</t>
  </si>
  <si>
    <t>สร้างรายชื่อในรอบเดือน</t>
  </si>
  <si>
    <t>งวดแยกโอที</t>
  </si>
  <si>
    <t>งวดแยกเวลาการทำงาน</t>
  </si>
  <si>
    <t>1</t>
  </si>
  <si>
    <t>MIC000</t>
  </si>
  <si>
    <t>01-นาย</t>
  </si>
  <si>
    <t>อดิเรก</t>
  </si>
  <si>
    <t>ฉ่ำชื่น</t>
  </si>
  <si>
    <t>ชาย</t>
  </si>
  <si>
    <t>N-ไทย</t>
  </si>
  <si>
    <t>TH</t>
  </si>
  <si>
    <t>3102300284387</t>
  </si>
  <si>
    <t>2026-01</t>
  </si>
  <si>
    <t>01-พนักงานรายเดือน</t>
  </si>
  <si>
    <t>ET0001-พนักงานรายเดือน</t>
  </si>
  <si>
    <t>Full-เต็มเดือน</t>
  </si>
  <si>
    <t>Adirek</t>
  </si>
  <si>
    <t>Chumchuen</t>
  </si>
  <si>
    <t>0851245499</t>
  </si>
  <si>
    <t>micorganize@gmail.com</t>
  </si>
  <si>
    <t>N</t>
  </si>
  <si>
    <t>1-โอน</t>
  </si>
  <si>
    <t>B0001</t>
  </si>
  <si>
    <t>SCB</t>
  </si>
  <si>
    <t>0069</t>
  </si>
  <si>
    <t>0692223501</t>
  </si>
  <si>
    <t>47 ถ.เลียบคลองภาษีเจริญฝั่งใต้</t>
  </si>
  <si>
    <t>แขวงหนองแขม</t>
  </si>
  <si>
    <t>เขตหนองแขม</t>
  </si>
  <si>
    <t>กรุงเทพมหานคร</t>
  </si>
  <si>
    <t>D001</t>
  </si>
  <si>
    <t>HR &amp; Administration</t>
  </si>
  <si>
    <t>P001</t>
  </si>
  <si>
    <t>Managing Director</t>
  </si>
  <si>
    <t>2</t>
  </si>
  <si>
    <t>MIC008</t>
  </si>
  <si>
    <t>03-นางสาว</t>
  </si>
  <si>
    <t>ณัชชารีย์</t>
  </si>
  <si>
    <t>ธนดีฐิติกาญจน์</t>
  </si>
  <si>
    <t>หญิง</t>
  </si>
  <si>
    <t>1103700202501</t>
  </si>
  <si>
    <t>2022-09</t>
  </si>
  <si>
    <t>ส้ม</t>
  </si>
  <si>
    <t>Natcharee</t>
  </si>
  <si>
    <t>Thanadeethitikarn</t>
  </si>
  <si>
    <t>Som</t>
  </si>
  <si>
    <t>0953899595</t>
  </si>
  <si>
    <t>natchalee1990@gmail.com</t>
  </si>
  <si>
    <t>1062428070</t>
  </si>
  <si>
    <t>100/123 ซ.ราษฏร์พัฒนา 14</t>
  </si>
  <si>
    <t>แขวงราษฎร์พัฒนา</t>
  </si>
  <si>
    <t>เขตสะพานสูง</t>
  </si>
  <si>
    <t>P004</t>
  </si>
  <si>
    <t>Admin</t>
  </si>
  <si>
    <t>3</t>
  </si>
  <si>
    <t>MIC014</t>
  </si>
  <si>
    <t>นัฐกานต์</t>
  </si>
  <si>
    <t>โพธิ์ฉิม</t>
  </si>
  <si>
    <t>1150600133734</t>
  </si>
  <si>
    <t>2024-07</t>
  </si>
  <si>
    <t>มด</t>
  </si>
  <si>
    <t>Natthakarn</t>
  </si>
  <si>
    <t>Phochim</t>
  </si>
  <si>
    <t>Mod</t>
  </si>
  <si>
    <t>0889217963</t>
  </si>
  <si>
    <t>nattakarn.pohchim@gmail.com</t>
  </si>
  <si>
    <t>5439</t>
  </si>
  <si>
    <t>4082876413</t>
  </si>
  <si>
    <t>14 ซ.เสรีไทย 38</t>
  </si>
  <si>
    <t>แขวงรามอินทรา</t>
  </si>
  <si>
    <t>เขตคันนายาว</t>
  </si>
  <si>
    <t>4</t>
  </si>
  <si>
    <t>MIC020</t>
  </si>
  <si>
    <t>วีรยา</t>
  </si>
  <si>
    <t>ชมสอิ้ง</t>
  </si>
  <si>
    <t>1779900098945</t>
  </si>
  <si>
    <t>2025-12</t>
  </si>
  <si>
    <t>Weeraya</t>
  </si>
  <si>
    <t>Chomsing</t>
  </si>
  <si>
    <t>0984430874</t>
  </si>
  <si>
    <t>veebah1733@gmail.com</t>
  </si>
  <si>
    <t>0002</t>
  </si>
  <si>
    <t>0022903535</t>
  </si>
  <si>
    <t>235/103 ถ.ราษฎร์พัฒนา</t>
  </si>
  <si>
    <t>D002</t>
  </si>
  <si>
    <t>Accounting &amp; Finance</t>
  </si>
  <si>
    <t>Y</t>
  </si>
  <si>
    <t>5</t>
  </si>
  <si>
    <t>MIC001</t>
  </si>
  <si>
    <t>มณฑารัตน์</t>
  </si>
  <si>
    <t>พุ่มโพธิ์ทอง</t>
  </si>
  <si>
    <t>3102200516308</t>
  </si>
  <si>
    <t>2016-08</t>
  </si>
  <si>
    <t>ปุ๊ก</t>
  </si>
  <si>
    <t>Montharat</t>
  </si>
  <si>
    <t>Pumpothong</t>
  </si>
  <si>
    <t>Pook</t>
  </si>
  <si>
    <t>0899242596</t>
  </si>
  <si>
    <t>montarathellotaste@gmail.com</t>
  </si>
  <si>
    <t>4027803857</t>
  </si>
  <si>
    <t>848/553 อาคารยูดีไลฟ์ 3 ถ.ประชาชื่น</t>
  </si>
  <si>
    <t>แขวงวงศ์สว่าง</t>
  </si>
  <si>
    <t>เขตบางซื่อ</t>
  </si>
  <si>
    <t>D004</t>
  </si>
  <si>
    <t>Sales &amp; Marketing</t>
  </si>
  <si>
    <t>P002</t>
  </si>
  <si>
    <t>Director</t>
  </si>
  <si>
    <t>6</t>
  </si>
  <si>
    <t>MIC013</t>
  </si>
  <si>
    <t>มาร์ค</t>
  </si>
  <si>
    <t>กุหมัด</t>
  </si>
  <si>
    <t>1104300353252</t>
  </si>
  <si>
    <t>2024-05</t>
  </si>
  <si>
    <t>Mark</t>
  </si>
  <si>
    <t>Kumat</t>
  </si>
  <si>
    <t>0830628387</t>
  </si>
  <si>
    <t>mark.kms33@gmail.com</t>
  </si>
  <si>
    <t>1714438753</t>
  </si>
  <si>
    <t>173 ซ.เคหะร่มเกล้า 41</t>
  </si>
  <si>
    <t>แขวงคลองสองต้นนุ่น</t>
  </si>
  <si>
    <t>เขตลาดกระบัง</t>
  </si>
  <si>
    <t>7</t>
  </si>
  <si>
    <t>MIC002</t>
  </si>
  <si>
    <t>สุเมธ</t>
  </si>
  <si>
    <t>รัตนวิริยะกุล</t>
  </si>
  <si>
    <t>3260100399935</t>
  </si>
  <si>
    <t>2022-04</t>
  </si>
  <si>
    <t>เมธ</t>
  </si>
  <si>
    <t>Sumeth</t>
  </si>
  <si>
    <t>Rattanawiriyakul</t>
  </si>
  <si>
    <t>Meth</t>
  </si>
  <si>
    <t>0863458640</t>
  </si>
  <si>
    <t>november5552@hotmail.com</t>
  </si>
  <si>
    <t>1712349550</t>
  </si>
  <si>
    <t>600/46 ถ.อ่อนนุช</t>
  </si>
  <si>
    <t>แขวงสวนหลวง</t>
  </si>
  <si>
    <t>เขตสวนหลวง</t>
  </si>
  <si>
    <t>D005</t>
  </si>
  <si>
    <t>Project Management</t>
  </si>
  <si>
    <t>P003</t>
  </si>
  <si>
    <t>Manager</t>
  </si>
  <si>
    <t>8</t>
  </si>
  <si>
    <t>MIC009</t>
  </si>
  <si>
    <t>จุฑาทิพ</t>
  </si>
  <si>
    <t>อาสาณรงค์</t>
  </si>
  <si>
    <t>1200900072055</t>
  </si>
  <si>
    <t>2022-11</t>
  </si>
  <si>
    <t>ทิพ</t>
  </si>
  <si>
    <t>Jutatip</t>
  </si>
  <si>
    <t>Asanarong</t>
  </si>
  <si>
    <t>tip</t>
  </si>
  <si>
    <t>0657162656</t>
  </si>
  <si>
    <t>classic-tipsy@hotmail.com</t>
  </si>
  <si>
    <t>3822332908</t>
  </si>
  <si>
    <t>190/399 หมู่ที่ 2</t>
  </si>
  <si>
    <t>พิมลราช</t>
  </si>
  <si>
    <t>บางบัวทอง</t>
  </si>
  <si>
    <t>นนทบุรี</t>
  </si>
  <si>
    <t>ET0002-พนักงานรายเดือน</t>
  </si>
  <si>
    <t>ET0003-พนักงานรายเดือน</t>
  </si>
  <si>
    <t>ET0004-พนักงานรายวัน</t>
  </si>
  <si>
    <t>ET0005-พนักงานรายวัน</t>
  </si>
  <si>
    <t>ET0006-พนักงานรายวัน</t>
  </si>
  <si>
    <t>ET0007-พนักงานพาร์ททาม</t>
  </si>
  <si>
    <t>ET0008-พนักงานพาร์ททาม</t>
  </si>
  <si>
    <t>ET0009-พนักงานพาร์ททาม</t>
  </si>
  <si>
    <t>ET00010-พนักงานเหมาจ่าย</t>
  </si>
  <si>
    <t>ET00011-พนักงานเหมาจ่าย</t>
  </si>
  <si>
    <t>ET00012-พนักงานเหมาจ่าย</t>
  </si>
</sst>
</file>

<file path=xl/styles.xml><?xml version="1.0" encoding="utf-8"?>
<styleSheet xmlns="http://schemas.openxmlformats.org/spreadsheetml/2006/main" xml:space="preserve">
  <numFmts count="1">
    <numFmt numFmtId="164" formatCode="yyyy-mm-dd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24"/>
      <color rgb="FF000000"/>
      <name val="Cordia New"/>
    </font>
    <font>
      <b val="1"/>
      <i val="0"/>
      <strike val="0"/>
      <u val="none"/>
      <sz val="15"/>
      <color rgb="FF000000"/>
      <name val="Cordia New"/>
    </font>
    <font>
      <b val="1"/>
      <i val="0"/>
      <strike val="0"/>
      <u val="none"/>
      <sz val="15"/>
      <color rgb="FFFFFFFF"/>
      <name val="Cordia New"/>
    </font>
    <font>
      <b val="0"/>
      <i val="0"/>
      <strike val="0"/>
      <u val="none"/>
      <sz val="16"/>
      <color rgb="FF000000"/>
      <name val="Cordia New"/>
    </font>
  </fonts>
  <fills count="4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E0E0E0"/>
        <bgColor rgb="FF000000"/>
      </patternFill>
    </fill>
    <fill>
      <patternFill patternType="solid">
        <fgColor rgb="FFFF0000"/>
        <bgColor rgb="FF00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3" numFmtId="0" fillId="3" borderId="1" applyFont="1" applyNumberFormat="0" applyFill="1" applyBorder="1" applyAlignment="1">
      <alignment horizontal="center" vertical="center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true" shrinkToFit="false"/>
    </xf>
    <xf xfId="0" fontId="4" numFmtId="0" fillId="0" borderId="1" applyFont="1" applyNumberFormat="0" applyFill="0" applyBorder="1" applyAlignment="1">
      <alignment horizontal="left" vertical="bottom" textRotation="0" wrapText="true" shrinkToFit="false"/>
    </xf>
    <xf xfId="0" fontId="4" numFmtId="0" fillId="0" borderId="1" applyFont="1" applyNumberFormat="0" applyFill="0" applyBorder="1" applyAlignment="1">
      <alignment horizontal="right" vertical="bottom" textRotation="0" wrapText="true" shrinkToFit="false"/>
    </xf>
    <xf xfId="0" fontId="4" numFmtId="0" fillId="2" borderId="1" applyFont="1" applyNumberFormat="0" applyFill="1" applyBorder="1" applyAlignment="1">
      <alignment horizontal="center" vertical="bottom" textRotation="0" wrapText="true" shrinkToFit="false"/>
    </xf>
    <xf xfId="0" fontId="0" numFmtId="49" fillId="0" borderId="0" applyFont="0" applyNumberFormat="1" applyFill="0" applyBorder="0" applyAlignment="0">
      <alignment horizontal="general" vertical="bottom" textRotation="0" wrapText="false" shrinkToFit="false"/>
    </xf>
    <xf xfId="0" fontId="4" numFmtId="164" fillId="0" borderId="1" applyFont="1" applyNumberFormat="1" applyFill="0" applyBorder="1" applyAlignment="1">
      <alignment horizontal="center" vertical="bottom" textRotation="0" wrapText="true" shrinkToFit="false"/>
    </xf>
    <xf xfId="0" fontId="4" numFmtId="4" fillId="0" borderId="1" applyFont="1" applyNumberFormat="1" applyFill="0" applyBorder="1" applyAlignment="1">
      <alignment horizontal="right" vertical="bottom" textRotation="0" wrapText="true" shrinkToFit="false"/>
    </xf>
    <xf xfId="0" fontId="4" numFmtId="0" fillId="2" borderId="1" applyFont="1" applyNumberFormat="0" applyFill="1" applyBorder="1" applyAlignment="1">
      <alignment horizontal="left" vertical="bottom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BL11"/>
  <sheetViews>
    <sheetView tabSelected="1" workbookViewId="0" showGridLines="true" showRowColHeaders="1">
      <selection activeCell="AS11" sqref="AS11"/>
    </sheetView>
  </sheetViews>
  <sheetFormatPr defaultRowHeight="14.4" outlineLevelRow="0" outlineLevelCol="0"/>
  <cols>
    <col min="1" max="1" width="9.283447000000001" bestFit="true" customWidth="true" style="0"/>
    <col min="2" max="2" width="22.137451" bestFit="true" customWidth="true" style="0"/>
    <col min="3" max="3" width="28.564453" bestFit="true" customWidth="true" style="0"/>
    <col min="4" max="4" width="22.137451" bestFit="true" customWidth="true" style="0"/>
    <col min="5" max="5" width="30.135498" bestFit="true" customWidth="true" style="0"/>
    <col min="6" max="6" width="23.708496" bestFit="true" customWidth="true" style="0"/>
    <col min="7" max="7" width="25.279541" bestFit="true" customWidth="true" style="0"/>
    <col min="8" max="8" width="30.135498" bestFit="true" customWidth="true" style="0"/>
    <col min="9" max="9" width="18.852539" bestFit="true" customWidth="true" style="0"/>
    <col min="10" max="10" width="52.844238" bestFit="true" customWidth="true" style="0"/>
    <col min="11" max="11" width="52.844238" bestFit="true" customWidth="true" style="0"/>
    <col min="12" max="12" width="28.564453" bestFit="true" customWidth="true" style="0"/>
    <col min="13" max="13" width="27.13623" bestFit="true" customWidth="true" style="0"/>
    <col min="14" max="14" width="36.5625" bestFit="true" customWidth="true" style="0"/>
    <col min="15" max="15" width="47.845459" bestFit="true" customWidth="true" style="0"/>
    <col min="16" max="16" width="25.279541" bestFit="true" customWidth="true" style="0"/>
    <col min="17" max="17" width="32.277832" bestFit="true" customWidth="true" style="0"/>
    <col min="18" max="18" width="39.990234" bestFit="true" customWidth="true" style="0"/>
    <col min="19" max="19" width="33.563232" bestFit="true" customWidth="true" style="0"/>
    <col min="20" max="20" width="28.564453" bestFit="true" customWidth="true" style="0"/>
    <col min="21" max="21" width="27.13623" bestFit="true" customWidth="true" style="0"/>
    <col min="22" max="22" width="34.991455" bestFit="true" customWidth="true" style="0"/>
    <col min="23" max="23" width="33.563232" bestFit="true" customWidth="true" style="0"/>
    <col min="24" max="24" width="18.852539" bestFit="true" customWidth="true" style="0"/>
    <col min="25" max="25" width="49.559326" bestFit="true" customWidth="true" style="0"/>
    <col min="26" max="26" width="18.566895" bestFit="true" customWidth="true" style="0"/>
    <col min="27" max="27" width="14.282227" bestFit="true" customWidth="true" style="0"/>
    <col min="28" max="28" width="23.708496" bestFit="true" customWidth="true" style="0"/>
    <col min="29" max="29" width="20.709229" bestFit="true" customWidth="true" style="0"/>
    <col min="30" max="30" width="18.852539" bestFit="true" customWidth="true" style="0"/>
    <col min="31" max="31" width="14.282227" bestFit="true" customWidth="true" style="0"/>
    <col min="32" max="32" width="36.5625" bestFit="true" customWidth="true" style="0"/>
    <col min="33" max="33" width="25.279541" bestFit="true" customWidth="true" style="0"/>
    <col min="34" max="34" width="20.709229" bestFit="true" customWidth="true" style="0"/>
    <col min="35" max="35" width="18.852539" bestFit="true" customWidth="true" style="0"/>
    <col min="36" max="36" width="17.281494" bestFit="true" customWidth="true" style="0"/>
    <col min="37" max="37" width="23.708496" bestFit="true" customWidth="true" style="0"/>
    <col min="38" max="38" width="16.853027" bestFit="true" customWidth="true" style="0"/>
    <col min="39" max="39" width="30.135498" bestFit="true" customWidth="true" style="0"/>
    <col min="40" max="40" width="30.135498" bestFit="true" customWidth="true" style="0"/>
    <col min="41" max="41" width="46.417236" bestFit="true" customWidth="true" style="0"/>
    <col min="42" max="42" width="12.425537" bestFit="true" customWidth="true" style="0"/>
    <col min="43" max="43" width="27.13623" bestFit="true" customWidth="true" style="0"/>
    <col min="44" max="44" width="28.564453" bestFit="true" customWidth="true" style="0"/>
    <col min="45" max="45" width="61.556396" bestFit="true" customWidth="true" style="0"/>
    <col min="46" max="46" width="32.277832" bestFit="true" customWidth="true" style="0"/>
    <col min="47" max="47" width="22.137451" bestFit="true" customWidth="true" style="0"/>
    <col min="48" max="48" width="23.708496" bestFit="true" customWidth="true" style="0"/>
    <col min="49" max="49" width="61.556396" bestFit="true" customWidth="true" style="0"/>
    <col min="50" max="50" width="39.990234" bestFit="true" customWidth="true" style="0"/>
    <col min="51" max="51" width="34.991455" bestFit="true" customWidth="true" style="0"/>
    <col min="52" max="52" width="30.135498" bestFit="true" customWidth="true" style="0"/>
    <col min="53" max="53" width="25.279541" bestFit="true" customWidth="true" style="0"/>
    <col min="54" max="54" width="35.848389" bestFit="true" customWidth="true" style="0"/>
    <col min="55" max="55" width="22.137451" bestFit="true" customWidth="true" style="0"/>
    <col min="56" max="56" width="22.137451" bestFit="true" customWidth="true" style="0"/>
    <col min="57" max="57" width="20.709229" bestFit="true" customWidth="true" style="0"/>
    <col min="58" max="58" width="20.709229" bestFit="true" customWidth="true" style="0"/>
    <col min="59" max="59" width="22.137451" bestFit="true" customWidth="true" style="0"/>
    <col min="60" max="60" width="30.563965" bestFit="true" customWidth="true" style="0"/>
    <col min="61" max="61" width="22.137451" bestFit="true" customWidth="true" style="0"/>
    <col min="62" max="62" width="36.5625" bestFit="true" customWidth="true" style="0"/>
    <col min="63" max="63" width="17.281494" bestFit="true" customWidth="true" style="0"/>
    <col min="64" max="64" width="30.135498" bestFit="true" customWidth="true" style="0"/>
  </cols>
  <sheetData>
    <row r="1" spans="1:6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</row>
    <row r="2" spans="1:64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2" t="s">
        <v>6</v>
      </c>
      <c r="G2" s="3" t="s">
        <v>7</v>
      </c>
      <c r="H2" s="2" t="s">
        <v>8</v>
      </c>
      <c r="I2" s="2" t="s">
        <v>9</v>
      </c>
      <c r="J2" s="3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/>
      <c r="P2" s="2" t="s">
        <v>15</v>
      </c>
      <c r="Q2" s="3" t="s">
        <v>16</v>
      </c>
      <c r="R2" s="3" t="s">
        <v>17</v>
      </c>
      <c r="S2" s="3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/>
      <c r="AA2" s="2" t="s">
        <v>25</v>
      </c>
      <c r="AB2" s="2"/>
      <c r="AC2" s="2" t="s">
        <v>26</v>
      </c>
      <c r="AD2" s="2"/>
      <c r="AE2" s="2" t="s">
        <v>27</v>
      </c>
      <c r="AF2" s="2"/>
      <c r="AG2" s="2" t="s">
        <v>28</v>
      </c>
      <c r="AH2" s="2" t="s">
        <v>29</v>
      </c>
      <c r="AI2" s="2"/>
      <c r="AJ2" s="2" t="s">
        <v>30</v>
      </c>
      <c r="AK2" s="2" t="s">
        <v>31</v>
      </c>
      <c r="AL2" s="2" t="s">
        <v>32</v>
      </c>
      <c r="AM2" s="2" t="s">
        <v>33</v>
      </c>
      <c r="AN2" s="2" t="s">
        <v>34</v>
      </c>
      <c r="AO2" s="2" t="s">
        <v>35</v>
      </c>
      <c r="AP2" s="2" t="s">
        <v>36</v>
      </c>
      <c r="AQ2" s="2" t="s">
        <v>37</v>
      </c>
      <c r="AR2" s="2" t="s">
        <v>38</v>
      </c>
      <c r="AS2" s="2" t="s">
        <v>39</v>
      </c>
      <c r="AT2" s="2" t="s">
        <v>40</v>
      </c>
      <c r="AU2" s="2" t="s">
        <v>41</v>
      </c>
      <c r="AV2" s="2" t="s">
        <v>42</v>
      </c>
      <c r="AW2" s="2" t="s">
        <v>43</v>
      </c>
      <c r="AX2" s="2" t="s">
        <v>44</v>
      </c>
      <c r="AY2" s="2" t="s">
        <v>45</v>
      </c>
      <c r="AZ2" s="2" t="s">
        <v>46</v>
      </c>
      <c r="BA2" s="3" t="s">
        <v>47</v>
      </c>
      <c r="BB2" s="2" t="s">
        <v>48</v>
      </c>
      <c r="BC2" s="2" t="s">
        <v>49</v>
      </c>
      <c r="BD2" s="2" t="s">
        <v>50</v>
      </c>
      <c r="BE2" s="2" t="s">
        <v>51</v>
      </c>
      <c r="BF2" s="2" t="s">
        <v>52</v>
      </c>
      <c r="BG2" s="3" t="s">
        <v>53</v>
      </c>
      <c r="BH2" s="2" t="s">
        <v>54</v>
      </c>
      <c r="BI2" s="3" t="s">
        <v>55</v>
      </c>
      <c r="BJ2" s="2" t="s">
        <v>56</v>
      </c>
      <c r="BK2" s="2" t="s">
        <v>57</v>
      </c>
      <c r="BL2" s="2" t="s">
        <v>58</v>
      </c>
    </row>
    <row r="3" spans="1:64">
      <c r="A3" s="2" t="s">
        <v>59</v>
      </c>
      <c r="B3" s="2" t="s">
        <v>60</v>
      </c>
      <c r="C3" s="3" t="s">
        <v>61</v>
      </c>
      <c r="D3" s="3" t="s">
        <v>62</v>
      </c>
      <c r="E3" s="3" t="s">
        <v>63</v>
      </c>
      <c r="F3" s="2" t="s">
        <v>64</v>
      </c>
      <c r="G3" s="3" t="s">
        <v>65</v>
      </c>
      <c r="H3" s="2" t="s">
        <v>66</v>
      </c>
      <c r="I3" s="2" t="s">
        <v>67</v>
      </c>
      <c r="J3" s="3" t="s">
        <v>68</v>
      </c>
      <c r="K3" s="2" t="s">
        <v>69</v>
      </c>
      <c r="L3" s="2" t="s">
        <v>70</v>
      </c>
      <c r="M3" s="2" t="s">
        <v>71</v>
      </c>
      <c r="N3" s="2" t="s">
        <v>72</v>
      </c>
      <c r="O3" s="2" t="s">
        <v>73</v>
      </c>
      <c r="P3" s="2"/>
      <c r="Q3" s="3" t="s">
        <v>74</v>
      </c>
      <c r="R3" s="3" t="s">
        <v>75</v>
      </c>
      <c r="S3" s="3" t="s">
        <v>76</v>
      </c>
      <c r="T3" s="2" t="s">
        <v>77</v>
      </c>
      <c r="U3" s="2" t="s">
        <v>78</v>
      </c>
      <c r="V3" s="2" t="s">
        <v>79</v>
      </c>
      <c r="W3" s="2" t="s">
        <v>80</v>
      </c>
      <c r="X3" s="2" t="s">
        <v>81</v>
      </c>
      <c r="Y3" s="2" t="s">
        <v>82</v>
      </c>
      <c r="Z3" s="2" t="s">
        <v>83</v>
      </c>
      <c r="AA3" s="2"/>
      <c r="AB3" s="2" t="s">
        <v>84</v>
      </c>
      <c r="AC3" s="2"/>
      <c r="AD3" s="2" t="s">
        <v>85</v>
      </c>
      <c r="AE3" s="2"/>
      <c r="AF3" s="2" t="s">
        <v>86</v>
      </c>
      <c r="AG3" s="2"/>
      <c r="AH3" s="2" t="s">
        <v>87</v>
      </c>
      <c r="AI3" s="2" t="s">
        <v>88</v>
      </c>
      <c r="AJ3" s="2"/>
      <c r="AK3" s="2" t="s">
        <v>89</v>
      </c>
      <c r="AL3" s="2" t="s">
        <v>90</v>
      </c>
      <c r="AM3" s="2" t="s">
        <v>91</v>
      </c>
      <c r="AN3" s="2" t="s">
        <v>92</v>
      </c>
      <c r="AO3" s="2" t="s">
        <v>93</v>
      </c>
      <c r="AP3" s="2" t="s">
        <v>94</v>
      </c>
      <c r="AQ3" s="2" t="s">
        <v>95</v>
      </c>
      <c r="AR3" s="2" t="s">
        <v>96</v>
      </c>
      <c r="AS3" s="2" t="s">
        <v>97</v>
      </c>
      <c r="AT3" s="2" t="s">
        <v>98</v>
      </c>
      <c r="AU3" s="2" t="s">
        <v>99</v>
      </c>
      <c r="AV3" s="2" t="s">
        <v>100</v>
      </c>
      <c r="AW3" s="2" t="s">
        <v>101</v>
      </c>
      <c r="AX3" s="2" t="s">
        <v>98</v>
      </c>
      <c r="AY3" s="2" t="s">
        <v>99</v>
      </c>
      <c r="AZ3" s="2" t="s">
        <v>100</v>
      </c>
      <c r="BA3" s="3" t="s">
        <v>102</v>
      </c>
      <c r="BB3" s="2" t="s">
        <v>103</v>
      </c>
      <c r="BC3" s="2" t="s">
        <v>104</v>
      </c>
      <c r="BD3" s="2" t="s">
        <v>105</v>
      </c>
      <c r="BE3" s="2" t="s">
        <v>106</v>
      </c>
      <c r="BF3" s="2" t="s">
        <v>107</v>
      </c>
      <c r="BG3" s="3" t="s">
        <v>108</v>
      </c>
      <c r="BH3" s="2" t="s">
        <v>109</v>
      </c>
      <c r="BI3" s="3" t="s">
        <v>110</v>
      </c>
      <c r="BJ3" s="2" t="s">
        <v>111</v>
      </c>
      <c r="BK3" s="2" t="s">
        <v>112</v>
      </c>
      <c r="BL3" s="2" t="s">
        <v>113</v>
      </c>
    </row>
    <row r="4" spans="1:64">
      <c r="A4" s="4" t="s">
        <v>114</v>
      </c>
      <c r="B4" s="4" t="s">
        <v>115</v>
      </c>
      <c r="C4" s="4" t="s">
        <v>116</v>
      </c>
      <c r="D4" s="5" t="s">
        <v>117</v>
      </c>
      <c r="E4" s="5" t="s">
        <v>118</v>
      </c>
      <c r="F4" s="4" t="s">
        <v>115</v>
      </c>
      <c r="G4" s="4" t="s">
        <v>119</v>
      </c>
      <c r="H4" s="4" t="s">
        <v>120</v>
      </c>
      <c r="I4" s="4" t="s">
        <v>121</v>
      </c>
      <c r="J4" s="4" t="s">
        <v>122</v>
      </c>
      <c r="K4" s="4"/>
      <c r="L4" s="4"/>
      <c r="M4" s="4"/>
      <c r="N4" s="4" t="s">
        <v>122</v>
      </c>
      <c r="O4" s="4" t="s">
        <v>123</v>
      </c>
      <c r="P4" s="7" t="str">
        <f>IF(O4&lt;&gt;"",TEXT(O4,"YYYY-MM"),"")</f>
        <v>2026-01</v>
      </c>
      <c r="Q4" s="4" t="s">
        <v>124</v>
      </c>
      <c r="R4" s="4" t="s">
        <v>125</v>
      </c>
      <c r="S4" s="4" t="s">
        <v>126</v>
      </c>
      <c r="T4" s="5"/>
      <c r="U4" s="5" t="s">
        <v>127</v>
      </c>
      <c r="V4" s="5" t="s">
        <v>128</v>
      </c>
      <c r="W4" s="5"/>
      <c r="X4" s="5" t="s">
        <v>129</v>
      </c>
      <c r="Y4" s="5" t="s">
        <v>130</v>
      </c>
      <c r="Z4" s="9">
        <v>27833</v>
      </c>
      <c r="AA4" s="7" t="str">
        <f>IF(Z4&lt;&gt;"",TEXT(Z4,"YYYY-MM-DD"),"")</f>
        <v>1976-03-14</v>
      </c>
      <c r="AB4" s="9">
        <v>46023</v>
      </c>
      <c r="AC4" s="7" t="str">
        <f>IF(AB4&lt;&gt;"",TEXT(AB4,"YYYY-MM-DD"),"")</f>
        <v>2026-01-01</v>
      </c>
      <c r="AD4" s="9">
        <v>46023</v>
      </c>
      <c r="AE4" s="7" t="str">
        <f>IF(AD4&lt;&gt;"",TEXT(AD4,"YYYY-MM-DD"),"")</f>
        <v>2026-01-01</v>
      </c>
      <c r="AF4" s="4" t="s">
        <v>123</v>
      </c>
      <c r="AG4" s="7" t="str">
        <f>IF(AF4&lt;&gt;"",TEXT(AF4,"YYYY-MM"),"")</f>
        <v>2026-01</v>
      </c>
      <c r="AH4" s="6" t="s">
        <v>131</v>
      </c>
      <c r="AI4" s="9"/>
      <c r="AJ4" s="7" t="str">
        <f>IF(AI4&lt;&gt;"",TEXT(AI4,"YYYY-MM-DD"),"")</f>
        <v/>
      </c>
      <c r="AK4" s="6"/>
      <c r="AL4" s="10">
        <v>39000</v>
      </c>
      <c r="AM4" s="10">
        <v>0</v>
      </c>
      <c r="AN4" s="6" t="s">
        <v>132</v>
      </c>
      <c r="AO4" s="4" t="s">
        <v>133</v>
      </c>
      <c r="AP4" s="4" t="s">
        <v>134</v>
      </c>
      <c r="AQ4" s="5" t="s">
        <v>135</v>
      </c>
      <c r="AR4" s="5" t="s">
        <v>136</v>
      </c>
      <c r="AS4" s="11" t="s">
        <v>137</v>
      </c>
      <c r="AT4" s="5" t="s">
        <v>138</v>
      </c>
      <c r="AU4" s="5" t="s">
        <v>139</v>
      </c>
      <c r="AV4" s="5" t="s">
        <v>140</v>
      </c>
      <c r="AW4" s="5" t="s">
        <v>137</v>
      </c>
      <c r="AX4" s="5" t="s">
        <v>138</v>
      </c>
      <c r="AY4" s="5" t="s">
        <v>139</v>
      </c>
      <c r="AZ4" s="5" t="s">
        <v>140</v>
      </c>
      <c r="BA4" s="4" t="s">
        <v>141</v>
      </c>
      <c r="BB4" s="4" t="s">
        <v>142</v>
      </c>
      <c r="BC4" s="4"/>
      <c r="BD4" s="4"/>
      <c r="BE4" s="4"/>
      <c r="BF4" s="4"/>
      <c r="BG4" s="4" t="s">
        <v>143</v>
      </c>
      <c r="BH4" s="4" t="s">
        <v>144</v>
      </c>
      <c r="BI4" s="4" t="s">
        <v>131</v>
      </c>
      <c r="BJ4" s="4"/>
      <c r="BK4" s="4"/>
      <c r="BL4" s="4"/>
    </row>
    <row r="5" spans="1:64">
      <c r="A5" s="4" t="s">
        <v>145</v>
      </c>
      <c r="B5" s="4" t="s">
        <v>146</v>
      </c>
      <c r="C5" s="4" t="s">
        <v>147</v>
      </c>
      <c r="D5" s="5" t="s">
        <v>148</v>
      </c>
      <c r="E5" s="5" t="s">
        <v>149</v>
      </c>
      <c r="F5" s="4" t="s">
        <v>146</v>
      </c>
      <c r="G5" s="4" t="s">
        <v>150</v>
      </c>
      <c r="H5" s="4" t="s">
        <v>120</v>
      </c>
      <c r="I5" s="4" t="s">
        <v>121</v>
      </c>
      <c r="J5" s="4" t="s">
        <v>151</v>
      </c>
      <c r="K5" s="4"/>
      <c r="L5" s="4"/>
      <c r="M5" s="4"/>
      <c r="N5" s="4" t="s">
        <v>151</v>
      </c>
      <c r="O5" s="4" t="s">
        <v>152</v>
      </c>
      <c r="P5" s="7" t="str">
        <f>IF(O5&lt;&gt;"",TEXT(O5,"YYYY-MM"),"")</f>
        <v>2022-01</v>
      </c>
      <c r="Q5" s="4" t="s">
        <v>124</v>
      </c>
      <c r="R5" s="4" t="s">
        <v>125</v>
      </c>
      <c r="S5" s="4" t="s">
        <v>126</v>
      </c>
      <c r="T5" s="5" t="s">
        <v>153</v>
      </c>
      <c r="U5" s="5" t="s">
        <v>154</v>
      </c>
      <c r="V5" s="5" t="s">
        <v>155</v>
      </c>
      <c r="W5" s="5" t="s">
        <v>156</v>
      </c>
      <c r="X5" s="5" t="s">
        <v>157</v>
      </c>
      <c r="Y5" s="5" t="s">
        <v>158</v>
      </c>
      <c r="Z5" s="9">
        <v>33095</v>
      </c>
      <c r="AA5" s="7" t="str">
        <f>IF(Z5&lt;&gt;"",TEXT(Z5,"YYYY-MM-DD"),"")</f>
        <v>1990-08-10</v>
      </c>
      <c r="AB5" s="9">
        <v>44805</v>
      </c>
      <c r="AC5" s="7" t="str">
        <f>IF(AB5&lt;&gt;"",TEXT(AB5,"YYYY-MM-DD"),"")</f>
        <v>2022-09-01</v>
      </c>
      <c r="AD5" s="9">
        <v>44805</v>
      </c>
      <c r="AE5" s="7" t="str">
        <f>IF(AD5&lt;&gt;"",TEXT(AD5,"YYYY-MM-DD"),"")</f>
        <v>2022-09-01</v>
      </c>
      <c r="AF5" s="4" t="s">
        <v>152</v>
      </c>
      <c r="AG5" s="7" t="str">
        <f>IF(AF5&lt;&gt;"",TEXT(AF5,"YYYY-MM"),"")</f>
        <v>2022-01</v>
      </c>
      <c r="AH5" s="6" t="s">
        <v>131</v>
      </c>
      <c r="AI5" s="9"/>
      <c r="AJ5" s="7" t="str">
        <f>IF(AI5&lt;&gt;"",TEXT(AI5,"YYYY-MM-DD"),"")</f>
        <v/>
      </c>
      <c r="AK5" s="6"/>
      <c r="AL5" s="10">
        <v>15000</v>
      </c>
      <c r="AM5" s="10">
        <v>0</v>
      </c>
      <c r="AN5" s="6" t="s">
        <v>132</v>
      </c>
      <c r="AO5" s="4" t="s">
        <v>133</v>
      </c>
      <c r="AP5" s="4" t="s">
        <v>134</v>
      </c>
      <c r="AQ5" s="5"/>
      <c r="AR5" s="5" t="s">
        <v>159</v>
      </c>
      <c r="AS5" s="11" t="s">
        <v>160</v>
      </c>
      <c r="AT5" s="5" t="s">
        <v>161</v>
      </c>
      <c r="AU5" s="5" t="s">
        <v>162</v>
      </c>
      <c r="AV5" s="5" t="s">
        <v>140</v>
      </c>
      <c r="AW5" s="5" t="s">
        <v>160</v>
      </c>
      <c r="AX5" s="5" t="s">
        <v>161</v>
      </c>
      <c r="AY5" s="5" t="s">
        <v>162</v>
      </c>
      <c r="AZ5" s="5" t="s">
        <v>140</v>
      </c>
      <c r="BA5" s="4" t="s">
        <v>141</v>
      </c>
      <c r="BB5" s="4" t="s">
        <v>142</v>
      </c>
      <c r="BC5" s="4"/>
      <c r="BD5" s="4"/>
      <c r="BE5" s="4"/>
      <c r="BF5" s="4"/>
      <c r="BG5" s="4" t="s">
        <v>163</v>
      </c>
      <c r="BH5" s="4" t="s">
        <v>164</v>
      </c>
      <c r="BI5" s="4" t="s">
        <v>131</v>
      </c>
      <c r="BJ5" s="4"/>
      <c r="BK5" s="4"/>
      <c r="BL5" s="4"/>
    </row>
    <row r="6" spans="1:64">
      <c r="A6" s="4" t="s">
        <v>165</v>
      </c>
      <c r="B6" s="4" t="s">
        <v>166</v>
      </c>
      <c r="C6" s="4" t="s">
        <v>147</v>
      </c>
      <c r="D6" s="5" t="s">
        <v>167</v>
      </c>
      <c r="E6" s="5" t="s">
        <v>168</v>
      </c>
      <c r="F6" s="4" t="s">
        <v>166</v>
      </c>
      <c r="G6" s="4" t="s">
        <v>150</v>
      </c>
      <c r="H6" s="4" t="s">
        <v>120</v>
      </c>
      <c r="I6" s="4" t="s">
        <v>121</v>
      </c>
      <c r="J6" s="4" t="s">
        <v>169</v>
      </c>
      <c r="K6" s="4"/>
      <c r="L6" s="4"/>
      <c r="M6" s="4"/>
      <c r="N6" s="4" t="s">
        <v>169</v>
      </c>
      <c r="O6" s="4" t="s">
        <v>170</v>
      </c>
      <c r="P6" s="7" t="str">
        <f>IF(O6&lt;&gt;"",TEXT(O6,"YYYY-MM"),"")</f>
        <v>2024-01</v>
      </c>
      <c r="Q6" s="4" t="s">
        <v>124</v>
      </c>
      <c r="R6" s="4" t="s">
        <v>125</v>
      </c>
      <c r="S6" s="4" t="s">
        <v>126</v>
      </c>
      <c r="T6" s="5" t="s">
        <v>171</v>
      </c>
      <c r="U6" s="5" t="s">
        <v>172</v>
      </c>
      <c r="V6" s="5" t="s">
        <v>173</v>
      </c>
      <c r="W6" s="5" t="s">
        <v>174</v>
      </c>
      <c r="X6" s="5" t="s">
        <v>175</v>
      </c>
      <c r="Y6" s="5" t="s">
        <v>176</v>
      </c>
      <c r="Z6" s="9">
        <v>35997</v>
      </c>
      <c r="AA6" s="7" t="str">
        <f>IF(Z6&lt;&gt;"",TEXT(Z6,"YYYY-MM-DD"),"")</f>
        <v>1998-07-21</v>
      </c>
      <c r="AB6" s="9">
        <v>45474</v>
      </c>
      <c r="AC6" s="7" t="str">
        <f>IF(AB6&lt;&gt;"",TEXT(AB6,"YYYY-MM-DD"),"")</f>
        <v>2024-07-01</v>
      </c>
      <c r="AD6" s="9">
        <v>45474</v>
      </c>
      <c r="AE6" s="7" t="str">
        <f>IF(AD6&lt;&gt;"",TEXT(AD6,"YYYY-MM-DD"),"")</f>
        <v>2024-07-01</v>
      </c>
      <c r="AF6" s="4" t="s">
        <v>170</v>
      </c>
      <c r="AG6" s="7" t="str">
        <f>IF(AF6&lt;&gt;"",TEXT(AF6,"YYYY-MM"),"")</f>
        <v>2024-01</v>
      </c>
      <c r="AH6" s="6" t="s">
        <v>131</v>
      </c>
      <c r="AI6" s="9"/>
      <c r="AJ6" s="7" t="str">
        <f>IF(AI6&lt;&gt;"",TEXT(AI6,"YYYY-MM-DD"),"")</f>
        <v/>
      </c>
      <c r="AK6" s="6"/>
      <c r="AL6" s="10">
        <v>16000</v>
      </c>
      <c r="AM6" s="10">
        <v>0</v>
      </c>
      <c r="AN6" s="6" t="s">
        <v>132</v>
      </c>
      <c r="AO6" s="4" t="s">
        <v>133</v>
      </c>
      <c r="AP6" s="4" t="s">
        <v>134</v>
      </c>
      <c r="AQ6" s="5" t="s">
        <v>177</v>
      </c>
      <c r="AR6" s="5" t="s">
        <v>178</v>
      </c>
      <c r="AS6" s="11" t="s">
        <v>179</v>
      </c>
      <c r="AT6" s="5" t="s">
        <v>180</v>
      </c>
      <c r="AU6" s="5" t="s">
        <v>181</v>
      </c>
      <c r="AV6" s="5" t="s">
        <v>140</v>
      </c>
      <c r="AW6" s="5" t="s">
        <v>179</v>
      </c>
      <c r="AX6" s="5" t="s">
        <v>180</v>
      </c>
      <c r="AY6" s="5" t="s">
        <v>181</v>
      </c>
      <c r="AZ6" s="5" t="s">
        <v>140</v>
      </c>
      <c r="BA6" s="4" t="s">
        <v>141</v>
      </c>
      <c r="BB6" s="4" t="s">
        <v>142</v>
      </c>
      <c r="BC6" s="4"/>
      <c r="BD6" s="4"/>
      <c r="BE6" s="4"/>
      <c r="BF6" s="4"/>
      <c r="BG6" s="4" t="s">
        <v>163</v>
      </c>
      <c r="BH6" s="4" t="s">
        <v>164</v>
      </c>
      <c r="BI6" s="4" t="s">
        <v>131</v>
      </c>
      <c r="BJ6" s="4"/>
      <c r="BK6" s="4"/>
      <c r="BL6" s="4"/>
    </row>
    <row r="7" spans="1:64">
      <c r="A7" s="4" t="s">
        <v>182</v>
      </c>
      <c r="B7" s="4" t="s">
        <v>183</v>
      </c>
      <c r="C7" s="4" t="s">
        <v>147</v>
      </c>
      <c r="D7" s="5" t="s">
        <v>184</v>
      </c>
      <c r="E7" s="5" t="s">
        <v>185</v>
      </c>
      <c r="F7" s="4" t="s">
        <v>183</v>
      </c>
      <c r="G7" s="4" t="s">
        <v>150</v>
      </c>
      <c r="H7" s="4" t="s">
        <v>120</v>
      </c>
      <c r="I7" s="4" t="s">
        <v>121</v>
      </c>
      <c r="J7" s="4" t="s">
        <v>186</v>
      </c>
      <c r="K7" s="4"/>
      <c r="L7" s="4"/>
      <c r="M7" s="4"/>
      <c r="N7" s="4" t="s">
        <v>186</v>
      </c>
      <c r="O7" s="4" t="s">
        <v>187</v>
      </c>
      <c r="P7" s="7" t="str">
        <f>IF(O7&lt;&gt;"",TEXT(O7,"YYYY-MM"),"")</f>
        <v>2025-01</v>
      </c>
      <c r="Q7" s="4" t="s">
        <v>124</v>
      </c>
      <c r="R7" s="4" t="s">
        <v>125</v>
      </c>
      <c r="S7" s="4" t="s">
        <v>126</v>
      </c>
      <c r="T7" s="5"/>
      <c r="U7" s="5" t="s">
        <v>188</v>
      </c>
      <c r="V7" s="5" t="s">
        <v>189</v>
      </c>
      <c r="W7" s="5"/>
      <c r="X7" s="5" t="s">
        <v>190</v>
      </c>
      <c r="Y7" s="5" t="s">
        <v>191</v>
      </c>
      <c r="Z7" s="9">
        <v>32890</v>
      </c>
      <c r="AA7" s="7" t="str">
        <f>IF(Z7&lt;&gt;"",TEXT(Z7,"YYYY-MM-DD"),"")</f>
        <v>1990-01-17</v>
      </c>
      <c r="AB7" s="9">
        <v>45992</v>
      </c>
      <c r="AC7" s="7" t="str">
        <f>IF(AB7&lt;&gt;"",TEXT(AB7,"YYYY-MM-DD"),"")</f>
        <v>2025-12-01</v>
      </c>
      <c r="AD7" s="9">
        <v>45992</v>
      </c>
      <c r="AE7" s="7" t="str">
        <f>IF(AD7&lt;&gt;"",TEXT(AD7,"YYYY-MM-DD"),"")</f>
        <v>2025-12-01</v>
      </c>
      <c r="AF7" s="4" t="s">
        <v>187</v>
      </c>
      <c r="AG7" s="7" t="str">
        <f>IF(AF7&lt;&gt;"",TEXT(AF7,"YYYY-MM"),"")</f>
        <v>2025-01</v>
      </c>
      <c r="AH7" s="6" t="s">
        <v>131</v>
      </c>
      <c r="AI7" s="9"/>
      <c r="AJ7" s="7" t="str">
        <f>IF(AI7&lt;&gt;"",TEXT(AI7,"YYYY-MM-DD"),"")</f>
        <v/>
      </c>
      <c r="AK7" s="6"/>
      <c r="AL7" s="10">
        <v>20000</v>
      </c>
      <c r="AM7" s="10">
        <v>0</v>
      </c>
      <c r="AN7" s="6" t="s">
        <v>132</v>
      </c>
      <c r="AO7" s="4" t="s">
        <v>133</v>
      </c>
      <c r="AP7" s="4" t="s">
        <v>134</v>
      </c>
      <c r="AQ7" s="5" t="s">
        <v>192</v>
      </c>
      <c r="AR7" s="5" t="s">
        <v>193</v>
      </c>
      <c r="AS7" s="11" t="s">
        <v>194</v>
      </c>
      <c r="AT7" s="5" t="s">
        <v>161</v>
      </c>
      <c r="AU7" s="5" t="s">
        <v>162</v>
      </c>
      <c r="AV7" s="5" t="s">
        <v>140</v>
      </c>
      <c r="AW7" s="5" t="s">
        <v>194</v>
      </c>
      <c r="AX7" s="5" t="s">
        <v>161</v>
      </c>
      <c r="AY7" s="5" t="s">
        <v>162</v>
      </c>
      <c r="AZ7" s="5" t="s">
        <v>140</v>
      </c>
      <c r="BA7" s="4" t="s">
        <v>195</v>
      </c>
      <c r="BB7" s="4" t="s">
        <v>196</v>
      </c>
      <c r="BC7" s="4"/>
      <c r="BD7" s="4"/>
      <c r="BE7" s="4"/>
      <c r="BF7" s="4"/>
      <c r="BG7" s="4" t="s">
        <v>163</v>
      </c>
      <c r="BH7" s="4" t="s">
        <v>164</v>
      </c>
      <c r="BI7" s="4" t="s">
        <v>197</v>
      </c>
      <c r="BJ7" s="4"/>
      <c r="BK7" s="4"/>
      <c r="BL7" s="4"/>
    </row>
    <row r="8" spans="1:64">
      <c r="A8" s="4" t="s">
        <v>198</v>
      </c>
      <c r="B8" s="4" t="s">
        <v>199</v>
      </c>
      <c r="C8" s="4" t="s">
        <v>147</v>
      </c>
      <c r="D8" s="5" t="s">
        <v>200</v>
      </c>
      <c r="E8" s="5" t="s">
        <v>201</v>
      </c>
      <c r="F8" s="4" t="s">
        <v>199</v>
      </c>
      <c r="G8" s="4" t="s">
        <v>150</v>
      </c>
      <c r="H8" s="4" t="s">
        <v>120</v>
      </c>
      <c r="I8" s="4" t="s">
        <v>121</v>
      </c>
      <c r="J8" s="4" t="s">
        <v>202</v>
      </c>
      <c r="K8" s="4"/>
      <c r="L8" s="4"/>
      <c r="M8" s="4"/>
      <c r="N8" s="4" t="s">
        <v>202</v>
      </c>
      <c r="O8" s="4" t="s">
        <v>203</v>
      </c>
      <c r="P8" s="7" t="str">
        <f>IF(O8&lt;&gt;"",TEXT(O8,"YYYY-MM"),"")</f>
        <v>2016-01</v>
      </c>
      <c r="Q8" s="4" t="s">
        <v>124</v>
      </c>
      <c r="R8" s="4" t="s">
        <v>125</v>
      </c>
      <c r="S8" s="4" t="s">
        <v>126</v>
      </c>
      <c r="T8" s="5" t="s">
        <v>204</v>
      </c>
      <c r="U8" s="5" t="s">
        <v>205</v>
      </c>
      <c r="V8" s="5" t="s">
        <v>206</v>
      </c>
      <c r="W8" s="5" t="s">
        <v>207</v>
      </c>
      <c r="X8" s="5" t="s">
        <v>208</v>
      </c>
      <c r="Y8" s="5" t="s">
        <v>209</v>
      </c>
      <c r="Z8" s="9">
        <v>28010</v>
      </c>
      <c r="AA8" s="7" t="str">
        <f>IF(Z8&lt;&gt;"",TEXT(Z8,"YYYY-MM-DD"),"")</f>
        <v>1976-09-07</v>
      </c>
      <c r="AB8" s="9">
        <v>42599</v>
      </c>
      <c r="AC8" s="7" t="str">
        <f>IF(AB8&lt;&gt;"",TEXT(AB8,"YYYY-MM-DD"),"")</f>
        <v>2016-08-17</v>
      </c>
      <c r="AD8" s="9">
        <v>42599</v>
      </c>
      <c r="AE8" s="7" t="str">
        <f>IF(AD8&lt;&gt;"",TEXT(AD8,"YYYY-MM-DD"),"")</f>
        <v>2016-08-17</v>
      </c>
      <c r="AF8" s="4" t="s">
        <v>203</v>
      </c>
      <c r="AG8" s="7" t="str">
        <f>IF(AF8&lt;&gt;"",TEXT(AF8,"YYYY-MM"),"")</f>
        <v>2016-01</v>
      </c>
      <c r="AH8" s="6" t="s">
        <v>131</v>
      </c>
      <c r="AI8" s="9"/>
      <c r="AJ8" s="7" t="str">
        <f>IF(AI8&lt;&gt;"",TEXT(AI8,"YYYY-MM-DD"),"")</f>
        <v/>
      </c>
      <c r="AK8" s="6"/>
      <c r="AL8" s="10">
        <v>39000</v>
      </c>
      <c r="AM8" s="10">
        <v>0</v>
      </c>
      <c r="AN8" s="6" t="s">
        <v>132</v>
      </c>
      <c r="AO8" s="4" t="s">
        <v>133</v>
      </c>
      <c r="AP8" s="4" t="s">
        <v>134</v>
      </c>
      <c r="AQ8" s="5"/>
      <c r="AR8" s="5" t="s">
        <v>210</v>
      </c>
      <c r="AS8" s="11" t="s">
        <v>211</v>
      </c>
      <c r="AT8" s="5" t="s">
        <v>212</v>
      </c>
      <c r="AU8" s="5" t="s">
        <v>213</v>
      </c>
      <c r="AV8" s="5" t="s">
        <v>140</v>
      </c>
      <c r="AW8" s="5" t="s">
        <v>211</v>
      </c>
      <c r="AX8" s="5" t="s">
        <v>212</v>
      </c>
      <c r="AY8" s="5" t="s">
        <v>213</v>
      </c>
      <c r="AZ8" s="5" t="s">
        <v>140</v>
      </c>
      <c r="BA8" s="4" t="s">
        <v>214</v>
      </c>
      <c r="BB8" s="4" t="s">
        <v>215</v>
      </c>
      <c r="BC8" s="4"/>
      <c r="BD8" s="4"/>
      <c r="BE8" s="4"/>
      <c r="BF8" s="4"/>
      <c r="BG8" s="4" t="s">
        <v>216</v>
      </c>
      <c r="BH8" s="4" t="s">
        <v>217</v>
      </c>
      <c r="BI8" s="4" t="s">
        <v>131</v>
      </c>
      <c r="BJ8" s="4"/>
      <c r="BK8" s="4"/>
      <c r="BL8" s="4"/>
    </row>
    <row r="9" spans="1:64">
      <c r="A9" s="4" t="s">
        <v>218</v>
      </c>
      <c r="B9" s="4" t="s">
        <v>219</v>
      </c>
      <c r="C9" s="4" t="s">
        <v>116</v>
      </c>
      <c r="D9" s="5" t="s">
        <v>220</v>
      </c>
      <c r="E9" s="5" t="s">
        <v>221</v>
      </c>
      <c r="F9" s="4" t="s">
        <v>219</v>
      </c>
      <c r="G9" s="4" t="s">
        <v>119</v>
      </c>
      <c r="H9" s="4" t="s">
        <v>120</v>
      </c>
      <c r="I9" s="4" t="s">
        <v>121</v>
      </c>
      <c r="J9" s="4" t="s">
        <v>222</v>
      </c>
      <c r="K9" s="4"/>
      <c r="L9" s="4"/>
      <c r="M9" s="4"/>
      <c r="N9" s="4" t="s">
        <v>222</v>
      </c>
      <c r="O9" s="4" t="s">
        <v>223</v>
      </c>
      <c r="P9" s="7" t="str">
        <f>IF(O9&lt;&gt;"",TEXT(O9,"YYYY-MM"),"")</f>
        <v>2024-01</v>
      </c>
      <c r="Q9" s="4" t="s">
        <v>124</v>
      </c>
      <c r="R9" s="4" t="s">
        <v>125</v>
      </c>
      <c r="S9" s="4" t="s">
        <v>126</v>
      </c>
      <c r="T9" s="5" t="s">
        <v>220</v>
      </c>
      <c r="U9" s="5" t="s">
        <v>224</v>
      </c>
      <c r="V9" s="5" t="s">
        <v>225</v>
      </c>
      <c r="W9" s="5" t="s">
        <v>224</v>
      </c>
      <c r="X9" s="5" t="s">
        <v>226</v>
      </c>
      <c r="Y9" s="5" t="s">
        <v>227</v>
      </c>
      <c r="Z9" s="9">
        <v>36880</v>
      </c>
      <c r="AA9" s="7" t="str">
        <f>IF(Z9&lt;&gt;"",TEXT(Z9,"YYYY-MM-DD"),"")</f>
        <v>2000-12-20</v>
      </c>
      <c r="AB9" s="9">
        <v>45413</v>
      </c>
      <c r="AC9" s="7" t="str">
        <f>IF(AB9&lt;&gt;"",TEXT(AB9,"YYYY-MM-DD"),"")</f>
        <v>2024-05-01</v>
      </c>
      <c r="AD9" s="9">
        <v>45413</v>
      </c>
      <c r="AE9" s="7" t="str">
        <f>IF(AD9&lt;&gt;"",TEXT(AD9,"YYYY-MM-DD"),"")</f>
        <v>2024-05-01</v>
      </c>
      <c r="AF9" s="4" t="s">
        <v>223</v>
      </c>
      <c r="AG9" s="7" t="str">
        <f>IF(AF9&lt;&gt;"",TEXT(AF9,"YYYY-MM"),"")</f>
        <v>2024-01</v>
      </c>
      <c r="AH9" s="6" t="s">
        <v>131</v>
      </c>
      <c r="AI9" s="9"/>
      <c r="AJ9" s="7" t="str">
        <f>IF(AI9&lt;&gt;"",TEXT(AI9,"YYYY-MM-DD"),"")</f>
        <v/>
      </c>
      <c r="AK9" s="6"/>
      <c r="AL9" s="10">
        <v>16000</v>
      </c>
      <c r="AM9" s="10">
        <v>0</v>
      </c>
      <c r="AN9" s="6" t="s">
        <v>132</v>
      </c>
      <c r="AO9" s="4" t="s">
        <v>133</v>
      </c>
      <c r="AP9" s="4" t="s">
        <v>134</v>
      </c>
      <c r="AQ9" s="5"/>
      <c r="AR9" s="5" t="s">
        <v>228</v>
      </c>
      <c r="AS9" s="11" t="s">
        <v>229</v>
      </c>
      <c r="AT9" s="5" t="s">
        <v>230</v>
      </c>
      <c r="AU9" s="5" t="s">
        <v>231</v>
      </c>
      <c r="AV9" s="5" t="s">
        <v>140</v>
      </c>
      <c r="AW9" s="5" t="s">
        <v>229</v>
      </c>
      <c r="AX9" s="5" t="s">
        <v>230</v>
      </c>
      <c r="AY9" s="5" t="s">
        <v>231</v>
      </c>
      <c r="AZ9" s="5" t="s">
        <v>140</v>
      </c>
      <c r="BA9" s="4" t="s">
        <v>214</v>
      </c>
      <c r="BB9" s="4" t="s">
        <v>215</v>
      </c>
      <c r="BC9" s="4"/>
      <c r="BD9" s="4"/>
      <c r="BE9" s="4"/>
      <c r="BF9" s="4"/>
      <c r="BG9" s="4" t="s">
        <v>163</v>
      </c>
      <c r="BH9" s="4" t="s">
        <v>164</v>
      </c>
      <c r="BI9" s="4" t="s">
        <v>131</v>
      </c>
      <c r="BJ9" s="4"/>
      <c r="BK9" s="4"/>
      <c r="BL9" s="4"/>
    </row>
    <row r="10" spans="1:64">
      <c r="A10" s="4" t="s">
        <v>232</v>
      </c>
      <c r="B10" s="4" t="s">
        <v>233</v>
      </c>
      <c r="C10" s="4" t="s">
        <v>116</v>
      </c>
      <c r="D10" s="5" t="s">
        <v>234</v>
      </c>
      <c r="E10" s="5" t="s">
        <v>235</v>
      </c>
      <c r="F10" s="4" t="s">
        <v>233</v>
      </c>
      <c r="G10" s="4" t="s">
        <v>150</v>
      </c>
      <c r="H10" s="4" t="s">
        <v>120</v>
      </c>
      <c r="I10" s="4" t="s">
        <v>121</v>
      </c>
      <c r="J10" s="4" t="s">
        <v>236</v>
      </c>
      <c r="K10" s="4"/>
      <c r="L10" s="4"/>
      <c r="M10" s="4"/>
      <c r="N10" s="4" t="s">
        <v>236</v>
      </c>
      <c r="O10" s="4" t="s">
        <v>237</v>
      </c>
      <c r="P10" s="7" t="str">
        <f>IF(O10&lt;&gt;"",TEXT(O10,"YYYY-MM"),"")</f>
        <v>2022-01</v>
      </c>
      <c r="Q10" s="4" t="s">
        <v>124</v>
      </c>
      <c r="R10" s="4" t="s">
        <v>125</v>
      </c>
      <c r="S10" s="4" t="s">
        <v>126</v>
      </c>
      <c r="T10" s="5" t="s">
        <v>238</v>
      </c>
      <c r="U10" s="5" t="s">
        <v>239</v>
      </c>
      <c r="V10" s="5" t="s">
        <v>240</v>
      </c>
      <c r="W10" s="5" t="s">
        <v>241</v>
      </c>
      <c r="X10" s="5" t="s">
        <v>242</v>
      </c>
      <c r="Y10" s="5" t="s">
        <v>243</v>
      </c>
      <c r="Z10" s="9">
        <v>30637</v>
      </c>
      <c r="AA10" s="7" t="str">
        <f>IF(Z10&lt;&gt;"",TEXT(Z10,"YYYY-MM-DD"),"")</f>
        <v>1983-11-17</v>
      </c>
      <c r="AB10" s="9">
        <v>44652</v>
      </c>
      <c r="AC10" s="7" t="str">
        <f>IF(AB10&lt;&gt;"",TEXT(AB10,"YYYY-MM-DD"),"")</f>
        <v>2022-04-01</v>
      </c>
      <c r="AD10" s="9">
        <v>44652</v>
      </c>
      <c r="AE10" s="7" t="str">
        <f>IF(AD10&lt;&gt;"",TEXT(AD10,"YYYY-MM-DD"),"")</f>
        <v>2022-04-01</v>
      </c>
      <c r="AF10" s="4" t="s">
        <v>237</v>
      </c>
      <c r="AG10" s="7" t="str">
        <f>IF(AF10&lt;&gt;"",TEXT(AF10,"YYYY-MM"),"")</f>
        <v>2022-01</v>
      </c>
      <c r="AH10" s="6" t="s">
        <v>131</v>
      </c>
      <c r="AI10" s="9"/>
      <c r="AJ10" s="7" t="str">
        <f>IF(AI10&lt;&gt;"",TEXT(AI10,"YYYY-MM-DD"),"")</f>
        <v/>
      </c>
      <c r="AK10" s="6"/>
      <c r="AL10" s="10">
        <v>10000</v>
      </c>
      <c r="AM10" s="10">
        <v>0</v>
      </c>
      <c r="AN10" s="6" t="s">
        <v>132</v>
      </c>
      <c r="AO10" s="4" t="s">
        <v>133</v>
      </c>
      <c r="AP10" s="4" t="s">
        <v>134</v>
      </c>
      <c r="AQ10" s="5"/>
      <c r="AR10" s="5" t="s">
        <v>244</v>
      </c>
      <c r="AS10" s="11" t="s">
        <v>245</v>
      </c>
      <c r="AT10" s="5" t="s">
        <v>246</v>
      </c>
      <c r="AU10" s="5" t="s">
        <v>247</v>
      </c>
      <c r="AV10" s="5" t="s">
        <v>140</v>
      </c>
      <c r="AW10" s="5" t="s">
        <v>245</v>
      </c>
      <c r="AX10" s="5" t="s">
        <v>246</v>
      </c>
      <c r="AY10" s="5" t="s">
        <v>247</v>
      </c>
      <c r="AZ10" s="5" t="s">
        <v>140</v>
      </c>
      <c r="BA10" s="4" t="s">
        <v>248</v>
      </c>
      <c r="BB10" s="4" t="s">
        <v>249</v>
      </c>
      <c r="BC10" s="4"/>
      <c r="BD10" s="4"/>
      <c r="BE10" s="4"/>
      <c r="BF10" s="4"/>
      <c r="BG10" s="4" t="s">
        <v>250</v>
      </c>
      <c r="BH10" s="4" t="s">
        <v>251</v>
      </c>
      <c r="BI10" s="4" t="s">
        <v>131</v>
      </c>
      <c r="BJ10" s="4"/>
      <c r="BK10" s="4"/>
      <c r="BL10" s="4"/>
    </row>
    <row r="11" spans="1:64">
      <c r="A11" s="4" t="s">
        <v>252</v>
      </c>
      <c r="B11" s="4" t="s">
        <v>253</v>
      </c>
      <c r="C11" s="4" t="s">
        <v>147</v>
      </c>
      <c r="D11" s="5" t="s">
        <v>254</v>
      </c>
      <c r="E11" s="5" t="s">
        <v>255</v>
      </c>
      <c r="F11" s="4" t="s">
        <v>253</v>
      </c>
      <c r="G11" s="4" t="s">
        <v>150</v>
      </c>
      <c r="H11" s="4" t="s">
        <v>120</v>
      </c>
      <c r="I11" s="4" t="s">
        <v>121</v>
      </c>
      <c r="J11" s="4" t="s">
        <v>256</v>
      </c>
      <c r="K11" s="4"/>
      <c r="L11" s="4"/>
      <c r="M11" s="4"/>
      <c r="N11" s="4" t="s">
        <v>256</v>
      </c>
      <c r="O11" s="4" t="s">
        <v>257</v>
      </c>
      <c r="P11" s="7" t="str">
        <f>IF(O11&lt;&gt;"",TEXT(O11,"YYYY-MM"),"")</f>
        <v>2022-01</v>
      </c>
      <c r="Q11" s="4" t="s">
        <v>124</v>
      </c>
      <c r="R11" s="4" t="s">
        <v>125</v>
      </c>
      <c r="S11" s="4" t="s">
        <v>126</v>
      </c>
      <c r="T11" s="5" t="s">
        <v>258</v>
      </c>
      <c r="U11" s="5" t="s">
        <v>259</v>
      </c>
      <c r="V11" s="5" t="s">
        <v>260</v>
      </c>
      <c r="W11" s="5" t="s">
        <v>261</v>
      </c>
      <c r="X11" s="5" t="s">
        <v>262</v>
      </c>
      <c r="Y11" s="5" t="s">
        <v>263</v>
      </c>
      <c r="Z11" s="9">
        <v>32185</v>
      </c>
      <c r="AA11" s="7" t="str">
        <f>IF(Z11&lt;&gt;"",TEXT(Z11,"YYYY-MM-DD"),"")</f>
        <v>1988-02-12</v>
      </c>
      <c r="AB11" s="9">
        <v>44866</v>
      </c>
      <c r="AC11" s="7" t="str">
        <f>IF(AB11&lt;&gt;"",TEXT(AB11,"YYYY-MM-DD"),"")</f>
        <v>2022-11-01</v>
      </c>
      <c r="AD11" s="9">
        <v>44866</v>
      </c>
      <c r="AE11" s="7" t="str">
        <f>IF(AD11&lt;&gt;"",TEXT(AD11,"YYYY-MM-DD"),"")</f>
        <v>2022-11-01</v>
      </c>
      <c r="AF11" s="4" t="s">
        <v>257</v>
      </c>
      <c r="AG11" s="7" t="str">
        <f>IF(AF11&lt;&gt;"",TEXT(AF11,"YYYY-MM"),"")</f>
        <v>2022-01</v>
      </c>
      <c r="AH11" s="6" t="s">
        <v>131</v>
      </c>
      <c r="AI11" s="9"/>
      <c r="AJ11" s="7" t="str">
        <f>IF(AI11&lt;&gt;"",TEXT(AI11,"YYYY-MM-DD"),"")</f>
        <v/>
      </c>
      <c r="AK11" s="6"/>
      <c r="AL11" s="10">
        <v>26000</v>
      </c>
      <c r="AM11" s="10">
        <v>0</v>
      </c>
      <c r="AN11" s="6" t="s">
        <v>132</v>
      </c>
      <c r="AO11" s="4" t="s">
        <v>133</v>
      </c>
      <c r="AP11" s="4" t="s">
        <v>134</v>
      </c>
      <c r="AQ11" s="5"/>
      <c r="AR11" s="5" t="s">
        <v>264</v>
      </c>
      <c r="AS11" s="11" t="s">
        <v>265</v>
      </c>
      <c r="AT11" s="5" t="s">
        <v>266</v>
      </c>
      <c r="AU11" s="5" t="s">
        <v>267</v>
      </c>
      <c r="AV11" s="5" t="s">
        <v>268</v>
      </c>
      <c r="AW11" s="5" t="s">
        <v>265</v>
      </c>
      <c r="AX11" s="5" t="s">
        <v>266</v>
      </c>
      <c r="AY11" s="5" t="s">
        <v>267</v>
      </c>
      <c r="AZ11" s="5" t="s">
        <v>268</v>
      </c>
      <c r="BA11" s="4" t="s">
        <v>248</v>
      </c>
      <c r="BB11" s="4" t="s">
        <v>249</v>
      </c>
      <c r="BC11" s="4"/>
      <c r="BD11" s="4"/>
      <c r="BE11" s="4"/>
      <c r="BF11" s="4"/>
      <c r="BG11" s="4" t="s">
        <v>250</v>
      </c>
      <c r="BH11" s="4" t="s">
        <v>251</v>
      </c>
      <c r="BI11" s="4" t="s">
        <v>131</v>
      </c>
      <c r="BJ11" s="4"/>
      <c r="BK11" s="4"/>
      <c r="BL11" s="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BL1"/>
  </mergeCells>
  <dataValidations count="104">
    <dataValidation type="list" errorStyle="stop" allowBlank="0" showDropDown="0" showInputMessage="1" showErrorMessage="1" errorTitle="Input error" error="Value is not in list." promptTitle="กรุณาเลือก" prompt="01-นาย" sqref="C4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ชาย" sqref="G4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4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4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4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4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4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4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SCB" sqref="AP4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N" sqref="BI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J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prompt="03-นางสาว" sqref="C5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หญิง" sqref="G5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5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5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5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5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5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5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SCB" sqref="AP5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N" sqref="BI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J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prompt="03-นางสาว" sqref="C6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หญิง" sqref="G6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6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6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6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6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6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6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SCB" sqref="AP6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N" sqref="BI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J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prompt="03-นางสาว" sqref="C7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หญิง" sqref="G7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7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7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7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7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7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7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SCB" sqref="AP7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Y" sqref="BI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J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prompt="03-นางสาว" sqref="C8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หญิง" sqref="G8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8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8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8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8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8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8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SCB" sqref="AP8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N" sqref="BI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J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prompt="01-นาย" sqref="C9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ชาย" sqref="G9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9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9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9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9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9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9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SCB" sqref="AP9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N" sqref="BI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J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prompt="01-นาย" sqref="C10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หญิง" sqref="G10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10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10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10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10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10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10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SCB" sqref="AP10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N" sqref="BI1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J1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prompt="03-นางสาว" sqref="C11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หญิง" sqref="G11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11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11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11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11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11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11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SCB" sqref="AP11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N" sqref="BI1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J1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1">
      <formula1>""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12"/>
  <sheetViews>
    <sheetView tabSelected="0" workbookViewId="0" showGridLines="true" showRowColHeaders="1">
      <selection activeCell="A12" sqref="A12"/>
    </sheetView>
  </sheetViews>
  <sheetFormatPr defaultRowHeight="14.4" outlineLevelRow="0" outlineLevelCol="0"/>
  <sheetData>
    <row r="1" spans="1:1">
      <c r="A1" s="8" t="s">
        <v>125</v>
      </c>
    </row>
    <row r="2" spans="1:1">
      <c r="A2" s="8" t="s">
        <v>269</v>
      </c>
    </row>
    <row r="3" spans="1:1">
      <c r="A3" s="8" t="s">
        <v>270</v>
      </c>
    </row>
    <row r="4" spans="1:1">
      <c r="A4" s="8" t="s">
        <v>271</v>
      </c>
    </row>
    <row r="5" spans="1:1">
      <c r="A5" s="8" t="s">
        <v>272</v>
      </c>
    </row>
    <row r="6" spans="1:1">
      <c r="A6" s="8" t="s">
        <v>273</v>
      </c>
    </row>
    <row r="7" spans="1:1">
      <c r="A7" s="8" t="s">
        <v>274</v>
      </c>
    </row>
    <row r="8" spans="1:1">
      <c r="A8" s="8" t="s">
        <v>275</v>
      </c>
    </row>
    <row r="9" spans="1:1">
      <c r="A9" s="8" t="s">
        <v>276</v>
      </c>
    </row>
    <row r="10" spans="1:1">
      <c r="A10" s="8" t="s">
        <v>277</v>
      </c>
    </row>
    <row r="11" spans="1:1">
      <c r="A11" s="8" t="s">
        <v>278</v>
      </c>
    </row>
    <row r="12" spans="1:1">
      <c r="A12" s="8" t="s">
        <v>279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Simple</vt:lpstr>
      <vt:lpstr>Dropdown List</vt:lpstr>
    </vt:vector>
  </TitlesOfParts>
  <Company>Microsoft Corporation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Balliauw</dc:creator>
  <cp:lastModifiedBy>Maarten Balliauw</cp:lastModifiedBy>
  <dcterms:created xsi:type="dcterms:W3CDTF">2026-09-02T09:53:43+07:00</dcterms:created>
  <dcterms:modified xsi:type="dcterms:W3CDTF">2026-09-02T09:53:43+07:00</dcterms:modified>
  <dc:title>Office 2007 XLSX Test Document</dc:title>
  <dc:description>Test document for Office 2007 XLSX, generated using PHP classes.</dc:description>
  <dc:subject>Office 2007 XLSX Test Document</dc:subject>
  <cp:keywords>office 2007 openxml php</cp:keywords>
  <cp:category>Test result file</cp:category>
</cp:coreProperties>
</file>